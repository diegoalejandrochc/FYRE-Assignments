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ual Data" sheetId="1" r:id="rId5"/>
    <sheet state="visible" name="Automated Data" sheetId="2" r:id="rId6"/>
    <sheet state="visible" name="Summary Data" sheetId="3" r:id="rId7"/>
    <sheet state="visible" name="Summary Chart" sheetId="4" r:id="rId8"/>
  </sheets>
  <definedNames/>
  <calcPr/>
</workbook>
</file>

<file path=xl/sharedStrings.xml><?xml version="1.0" encoding="utf-8"?>
<sst xmlns="http://schemas.openxmlformats.org/spreadsheetml/2006/main" count="44" uniqueCount="17">
  <si>
    <t>Completely Dry</t>
  </si>
  <si>
    <t>Blowing on it</t>
  </si>
  <si>
    <t>Half wiped down with the wet wipe</t>
  </si>
  <si>
    <t>Entire surface wiped</t>
  </si>
  <si>
    <t>Wipe on entire surface</t>
  </si>
  <si>
    <t>Sample</t>
  </si>
  <si>
    <t>Voltage (V)</t>
  </si>
  <si>
    <t>Condition</t>
  </si>
  <si>
    <t>Sample 1 (V)</t>
  </si>
  <si>
    <t>Sample 2 (V)</t>
  </si>
  <si>
    <t>Sample 3 (V)</t>
  </si>
  <si>
    <t>Measured</t>
  </si>
  <si>
    <t>Sampled with ADC</t>
  </si>
  <si>
    <t>Measured Average (V)</t>
  </si>
  <si>
    <t>ADC Average (V)</t>
  </si>
  <si>
    <t>Average</t>
  </si>
  <si>
    <t>Std. Dev.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</si>
</sst>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chartsheet" Target="chart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Sensor Voltage vs. Wetness Condition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'Summary Data'!$H$1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'Summary Data'!$G$2:$G$6</c:f>
            </c:numRef>
          </c:xVal>
          <c:yVal>
            <c:numRef>
              <c:f>'Summary Data'!$H$2:$H$6</c:f>
              <c:numCache/>
            </c:numRef>
          </c:yVal>
        </c:ser>
        <c:ser>
          <c:idx val="1"/>
          <c:order val="1"/>
          <c:tx>
            <c:strRef>
              <c:f>'Summary Data'!$I$1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'Summary Data'!$G$2:$G$6</c:f>
            </c:numRef>
          </c:xVal>
          <c:yVal>
            <c:numRef>
              <c:f>'Summary Data'!$I$2:$I$6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527325"/>
        <c:axId val="388531118"/>
      </c:scatterChart>
      <c:valAx>
        <c:axId val="53852732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Wetness Condition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8531118"/>
      </c:valAx>
      <c:valAx>
        <c:axId val="3885311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Voltage (V)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85273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1" t="s">
        <v>8</v>
      </c>
      <c r="C1" s="1" t="s">
        <v>9</v>
      </c>
      <c r="D1" s="1" t="s">
        <v>10</v>
      </c>
    </row>
    <row r="2">
      <c r="A2" s="1" t="s">
        <v>0</v>
      </c>
      <c r="B2" s="1">
        <v>3.29568</v>
      </c>
      <c r="C2" s="1">
        <v>3.296</v>
      </c>
      <c r="D2" s="1">
        <v>3.29565</v>
      </c>
    </row>
    <row r="3">
      <c r="A3" s="1" t="s">
        <v>1</v>
      </c>
      <c r="B3" s="1">
        <v>3.29597</v>
      </c>
      <c r="C3" s="1">
        <v>3.2957</v>
      </c>
      <c r="D3" s="1">
        <v>3.29585</v>
      </c>
    </row>
    <row r="4">
      <c r="A4" s="1" t="s">
        <v>2</v>
      </c>
      <c r="B4" s="1">
        <v>1.383</v>
      </c>
      <c r="C4" s="1">
        <v>1.207</v>
      </c>
      <c r="D4" s="1">
        <v>1.143</v>
      </c>
    </row>
    <row r="5">
      <c r="A5" s="1" t="s">
        <v>3</v>
      </c>
      <c r="B5" s="1">
        <v>0.919</v>
      </c>
      <c r="C5" s="1">
        <v>0.947</v>
      </c>
      <c r="D5" s="1">
        <v>0.988</v>
      </c>
    </row>
    <row r="6">
      <c r="A6" s="1" t="s">
        <v>4</v>
      </c>
      <c r="B6" s="1">
        <v>0.557</v>
      </c>
      <c r="C6" s="1">
        <v>0.556</v>
      </c>
      <c r="D6" s="1">
        <v>0.55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1" t="s">
        <v>1</v>
      </c>
      <c r="E1" s="1" t="s">
        <v>2</v>
      </c>
      <c r="G1" s="1" t="s">
        <v>3</v>
      </c>
      <c r="I1" s="1" t="s">
        <v>4</v>
      </c>
    </row>
    <row r="2">
      <c r="A2" s="1" t="s">
        <v>5</v>
      </c>
      <c r="B2" s="1" t="s">
        <v>6</v>
      </c>
      <c r="C2" s="1" t="s">
        <v>5</v>
      </c>
      <c r="D2" s="1" t="s">
        <v>6</v>
      </c>
      <c r="E2" s="1" t="s">
        <v>5</v>
      </c>
      <c r="F2" s="1" t="s">
        <v>6</v>
      </c>
      <c r="G2" s="1" t="s">
        <v>5</v>
      </c>
      <c r="H2" s="1" t="s">
        <v>6</v>
      </c>
      <c r="I2" s="1" t="s">
        <v>5</v>
      </c>
      <c r="J2" s="1" t="s">
        <v>6</v>
      </c>
    </row>
    <row r="3">
      <c r="A3" s="1">
        <v>1.0</v>
      </c>
      <c r="B3" s="1">
        <v>4.983</v>
      </c>
      <c r="C3" s="1">
        <v>1.0</v>
      </c>
      <c r="D3" s="1">
        <v>2.856</v>
      </c>
      <c r="E3" s="1">
        <v>1.0</v>
      </c>
      <c r="F3" s="1">
        <v>1.685</v>
      </c>
      <c r="G3" s="1">
        <v>1.0</v>
      </c>
      <c r="H3" s="1">
        <v>2.292</v>
      </c>
      <c r="I3" s="1">
        <v>1.0</v>
      </c>
      <c r="J3" s="1">
        <v>0.714</v>
      </c>
    </row>
    <row r="4">
      <c r="A4" s="1">
        <v>2.0</v>
      </c>
      <c r="B4" s="1">
        <v>4.983</v>
      </c>
      <c r="C4" s="1">
        <v>2.0</v>
      </c>
      <c r="D4" s="1">
        <v>2.796</v>
      </c>
      <c r="E4" s="1">
        <v>2.0</v>
      </c>
      <c r="F4" s="1">
        <v>1.69</v>
      </c>
      <c r="G4" s="1">
        <v>2.0</v>
      </c>
      <c r="H4" s="1">
        <v>2.295</v>
      </c>
      <c r="I4" s="1">
        <v>2.0</v>
      </c>
      <c r="J4" s="1">
        <v>0.706</v>
      </c>
    </row>
    <row r="5">
      <c r="A5" s="1">
        <v>3.0</v>
      </c>
      <c r="B5" s="1">
        <v>4.983</v>
      </c>
      <c r="C5" s="1">
        <v>3.0</v>
      </c>
      <c r="D5" s="1">
        <v>2.736</v>
      </c>
      <c r="E5" s="1">
        <v>3.0</v>
      </c>
      <c r="F5" s="1">
        <v>1.691</v>
      </c>
      <c r="G5" s="1">
        <v>3.0</v>
      </c>
      <c r="H5" s="1">
        <v>2.3</v>
      </c>
      <c r="I5" s="1">
        <v>3.0</v>
      </c>
      <c r="J5" s="1">
        <v>0.699</v>
      </c>
    </row>
    <row r="6">
      <c r="A6" s="1">
        <v>4.0</v>
      </c>
      <c r="B6" s="1">
        <v>4.983</v>
      </c>
      <c r="C6" s="1">
        <v>4.0</v>
      </c>
      <c r="D6" s="1">
        <v>2.688</v>
      </c>
      <c r="E6" s="1">
        <v>4.0</v>
      </c>
      <c r="F6" s="1">
        <v>1.695</v>
      </c>
      <c r="G6" s="1">
        <v>4.0</v>
      </c>
      <c r="H6" s="1">
        <v>2.304</v>
      </c>
      <c r="I6" s="1">
        <v>4.0</v>
      </c>
      <c r="J6" s="1">
        <v>0.694</v>
      </c>
    </row>
    <row r="7">
      <c r="A7" s="1">
        <v>5.0</v>
      </c>
      <c r="B7" s="1">
        <v>4.983</v>
      </c>
      <c r="C7" s="1">
        <v>5.0</v>
      </c>
      <c r="D7" s="1">
        <v>2.646</v>
      </c>
      <c r="E7" s="1">
        <v>5.0</v>
      </c>
      <c r="F7" s="1">
        <v>1.695</v>
      </c>
      <c r="G7" s="1">
        <v>5.0</v>
      </c>
      <c r="H7" s="1">
        <v>2.305</v>
      </c>
      <c r="I7" s="1">
        <v>5.0</v>
      </c>
      <c r="J7" s="1">
        <v>0.684</v>
      </c>
    </row>
    <row r="8">
      <c r="A8" s="1">
        <v>6.0</v>
      </c>
      <c r="B8" s="1">
        <v>4.983</v>
      </c>
      <c r="C8" s="1">
        <v>6.0</v>
      </c>
      <c r="D8" s="1">
        <v>2.621</v>
      </c>
      <c r="E8" s="1">
        <v>6.0</v>
      </c>
      <c r="F8" s="1">
        <v>1.701</v>
      </c>
      <c r="G8" s="1">
        <v>6.0</v>
      </c>
      <c r="H8" s="1">
        <v>2.313</v>
      </c>
      <c r="I8" s="1">
        <v>6.0</v>
      </c>
      <c r="J8" s="1">
        <v>0.672</v>
      </c>
    </row>
    <row r="9">
      <c r="A9" s="1">
        <v>7.0</v>
      </c>
      <c r="B9" s="1">
        <v>4.983</v>
      </c>
      <c r="C9" s="1">
        <v>7.0</v>
      </c>
      <c r="D9" s="1">
        <v>2.604</v>
      </c>
      <c r="E9" s="1">
        <v>7.0</v>
      </c>
      <c r="F9" s="1">
        <v>1.703</v>
      </c>
      <c r="G9" s="1">
        <v>7.0</v>
      </c>
      <c r="H9" s="1">
        <v>2.317</v>
      </c>
      <c r="I9" s="1">
        <v>7.0</v>
      </c>
      <c r="J9" s="1">
        <v>0.671</v>
      </c>
    </row>
    <row r="10">
      <c r="A10" s="1">
        <v>8.0</v>
      </c>
      <c r="B10" s="1">
        <v>4.983</v>
      </c>
      <c r="C10" s="1">
        <v>8.0</v>
      </c>
      <c r="D10" s="1">
        <v>2.594</v>
      </c>
      <c r="E10" s="1">
        <v>8.0</v>
      </c>
      <c r="F10" s="1">
        <v>1.705</v>
      </c>
      <c r="G10" s="1">
        <v>8.0</v>
      </c>
      <c r="H10" s="1">
        <v>2.319</v>
      </c>
      <c r="I10" s="1">
        <v>8.0</v>
      </c>
      <c r="J10" s="1">
        <v>0.664</v>
      </c>
    </row>
    <row r="11">
      <c r="A11" s="1">
        <v>9.0</v>
      </c>
      <c r="B11" s="1">
        <v>4.983</v>
      </c>
      <c r="C11" s="1">
        <v>9.0</v>
      </c>
      <c r="D11" s="1">
        <v>2.61</v>
      </c>
      <c r="E11" s="1">
        <v>9.0</v>
      </c>
      <c r="F11" s="1">
        <v>1.707</v>
      </c>
      <c r="G11" s="1">
        <v>9.0</v>
      </c>
      <c r="H11" s="1">
        <v>2.323</v>
      </c>
      <c r="I11" s="1">
        <v>9.0</v>
      </c>
      <c r="J11" s="1">
        <v>0.658</v>
      </c>
    </row>
    <row r="12">
      <c r="A12" s="1">
        <v>10.0</v>
      </c>
      <c r="B12" s="1">
        <v>4.983</v>
      </c>
      <c r="C12" s="1">
        <v>10.0</v>
      </c>
      <c r="D12" s="1">
        <v>2.644</v>
      </c>
      <c r="E12" s="1">
        <v>10.0</v>
      </c>
      <c r="F12" s="1">
        <v>1.708</v>
      </c>
      <c r="G12" s="1">
        <v>10.0</v>
      </c>
      <c r="H12" s="1">
        <v>2.329</v>
      </c>
      <c r="I12" s="1">
        <v>10.0</v>
      </c>
      <c r="J12" s="1">
        <v>0.652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19.75"/>
    <col customWidth="1" min="3" max="3" width="25.5"/>
    <col customWidth="1" min="4" max="4" width="16.0"/>
    <col customWidth="1" min="7" max="7" width="32.0"/>
    <col customWidth="1" min="8" max="8" width="21.88"/>
  </cols>
  <sheetData>
    <row r="1">
      <c r="A1" s="2" t="s">
        <v>7</v>
      </c>
      <c r="B1" s="3" t="s">
        <v>11</v>
      </c>
      <c r="D1" s="3" t="s">
        <v>12</v>
      </c>
      <c r="F1" s="4"/>
      <c r="G1" s="2" t="s">
        <v>7</v>
      </c>
      <c r="H1" s="2" t="s">
        <v>13</v>
      </c>
      <c r="I1" s="2" t="s">
        <v>14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2" t="s">
        <v>15</v>
      </c>
      <c r="C2" s="2" t="s">
        <v>16</v>
      </c>
      <c r="D2" s="2" t="s">
        <v>15</v>
      </c>
      <c r="E2" s="2" t="s">
        <v>16</v>
      </c>
      <c r="F2" s="4"/>
      <c r="G2" s="2" t="s">
        <v>0</v>
      </c>
      <c r="H2" s="4">
        <f t="shared" ref="H2:H6" si="1">B3</f>
        <v>3.295776667</v>
      </c>
      <c r="I2" s="4">
        <f t="shared" ref="I2:I6" si="2">D3</f>
        <v>4.983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0</v>
      </c>
      <c r="B3" s="5">
        <f>AVERAGE('Manual Data'!B2:D2)</f>
        <v>3.295776667</v>
      </c>
      <c r="C3" s="5">
        <f>STDEV('Manual Data'!B2:D2)</f>
        <v>0.000193993127</v>
      </c>
      <c r="D3" s="5">
        <f>AVERAGE('Automated Data'!B3:B12)</f>
        <v>4.983</v>
      </c>
      <c r="E3" s="5">
        <f>STDEV('Automated Data'!B3:B12)</f>
        <v>0</v>
      </c>
      <c r="G3" s="1" t="s">
        <v>1</v>
      </c>
      <c r="H3" s="5">
        <f t="shared" si="1"/>
        <v>3.29584</v>
      </c>
      <c r="I3" s="5">
        <f t="shared" si="2"/>
        <v>2.6795</v>
      </c>
    </row>
    <row r="4">
      <c r="A4" s="1" t="s">
        <v>1</v>
      </c>
      <c r="B4" s="5">
        <f>AVERAGE('Manual Data'!B3:D3)</f>
        <v>3.29584</v>
      </c>
      <c r="C4" s="5">
        <f>STDEV('Manual Data'!B3:D3)</f>
        <v>0.0001352774926</v>
      </c>
      <c r="D4" s="5">
        <f>AVERAGE('Automated Data'!D3:D12)</f>
        <v>2.6795</v>
      </c>
      <c r="E4" s="5">
        <f>STDEV('Automated Data'!D3:D12)</f>
        <v>0.08921540724</v>
      </c>
      <c r="G4" s="1" t="s">
        <v>2</v>
      </c>
      <c r="H4" s="5">
        <f t="shared" si="1"/>
        <v>1.244333333</v>
      </c>
      <c r="I4" s="5">
        <f t="shared" si="2"/>
        <v>1.698</v>
      </c>
    </row>
    <row r="5">
      <c r="A5" s="1" t="s">
        <v>2</v>
      </c>
      <c r="B5" s="5">
        <f>AVERAGE('Manual Data'!B4:D4)</f>
        <v>1.244333333</v>
      </c>
      <c r="C5" s="5">
        <f>STDEV('Manual Data'!B4:D4)</f>
        <v>0.1242792554</v>
      </c>
      <c r="D5" s="5">
        <f>AVERAGE('Automated Data'!F3:F12)</f>
        <v>1.698</v>
      </c>
      <c r="E5" s="5">
        <f>STDEV('Automated Data'!F3:F12)</f>
        <v>0.007916228058</v>
      </c>
      <c r="G5" s="1" t="s">
        <v>3</v>
      </c>
      <c r="H5" s="5">
        <f t="shared" si="1"/>
        <v>0.9513333333</v>
      </c>
      <c r="I5" s="5">
        <f t="shared" si="2"/>
        <v>2.3097</v>
      </c>
    </row>
    <row r="6">
      <c r="A6" s="1" t="s">
        <v>3</v>
      </c>
      <c r="B6" s="5">
        <f>AVERAGE('Manual Data'!B5:D5)</f>
        <v>0.9513333333</v>
      </c>
      <c r="C6" s="5">
        <f>STDEV('Manual Data'!B5:D5)</f>
        <v>0.03470350607</v>
      </c>
      <c r="D6" s="5">
        <f>AVERAGE('Automated Data'!H3:H12)</f>
        <v>2.3097</v>
      </c>
      <c r="E6" s="5">
        <f>STDEV('Automated Data'!H3:H12)</f>
        <v>0.01237425643</v>
      </c>
      <c r="G6" s="1" t="s">
        <v>4</v>
      </c>
      <c r="H6" s="5">
        <f t="shared" si="1"/>
        <v>0.5543333333</v>
      </c>
      <c r="I6" s="5">
        <f t="shared" si="2"/>
        <v>0.6814</v>
      </c>
    </row>
    <row r="7">
      <c r="A7" s="1" t="s">
        <v>4</v>
      </c>
      <c r="B7" s="5">
        <f>AVERAGE('Manual Data'!B6:D6)</f>
        <v>0.5543333333</v>
      </c>
      <c r="C7" s="5">
        <f>STDEV('Manual Data'!B6:D6)</f>
        <v>0.003785938897</v>
      </c>
      <c r="D7" s="5">
        <f>AVERAGE('Automated Data'!J3:J12)</f>
        <v>0.6814</v>
      </c>
      <c r="E7" s="5">
        <f>STDEV('Automated Data'!J3:J12)</f>
        <v>0.02122472353</v>
      </c>
    </row>
  </sheetData>
  <mergeCells count="2">
    <mergeCell ref="B1:C1"/>
    <mergeCell ref="D1:E1"/>
  </mergeCells>
  <drawing r:id="rId1"/>
</worksheet>
</file>